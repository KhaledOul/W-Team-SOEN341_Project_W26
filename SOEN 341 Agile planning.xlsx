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tinpham/Documents/Concordia/SOEN 341/W-Team-SOEN341_Project_W26/"/>
    </mc:Choice>
  </mc:AlternateContent>
  <xr:revisionPtr revIDLastSave="0" documentId="13_ncr:1_{9B9F4AC4-2CD1-6847-AFB4-1087690653D1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Cover Page" sheetId="1" r:id="rId1"/>
    <sheet name="Product backlog" sheetId="2" r:id="rId2"/>
    <sheet name="Time Blog - Sprint 1" sheetId="3" r:id="rId3"/>
    <sheet name="Time Blog - Sprint 2" sheetId="4" r:id="rId4"/>
    <sheet name="Time Blog - Sprint 3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5" l="1"/>
  <c r="E15" i="5"/>
  <c r="D15" i="5"/>
  <c r="C15" i="5"/>
  <c r="B15" i="5"/>
  <c r="C17" i="4"/>
  <c r="D17" i="4"/>
  <c r="E17" i="4"/>
  <c r="F17" i="4"/>
  <c r="B17" i="4"/>
  <c r="G14" i="3"/>
  <c r="F14" i="3"/>
  <c r="E14" i="3"/>
  <c r="D14" i="3"/>
  <c r="C14" i="3"/>
  <c r="B14" i="3"/>
  <c r="B16" i="3" s="1"/>
  <c r="D15" i="2"/>
</calcChain>
</file>

<file path=xl/sharedStrings.xml><?xml version="1.0" encoding="utf-8"?>
<sst xmlns="http://schemas.openxmlformats.org/spreadsheetml/2006/main" count="158" uniqueCount="102">
  <si>
    <t>TEAM NAME</t>
  </si>
  <si>
    <t>W Team</t>
  </si>
  <si>
    <t>Prepared By:</t>
  </si>
  <si>
    <t>LIST TEAM MEMBER FULL NAMES</t>
  </si>
  <si>
    <t>Huu Tin Pham</t>
  </si>
  <si>
    <t>Deep Patel</t>
  </si>
  <si>
    <t>Guyass Rozybakiev</t>
  </si>
  <si>
    <t>Khaled Oulhaci</t>
  </si>
  <si>
    <t xml:space="preserve"> Jacob Atallah</t>
  </si>
  <si>
    <t>Jingyu Zeng</t>
  </si>
  <si>
    <t>Issue #</t>
  </si>
  <si>
    <t>User Story Title/Task Title</t>
  </si>
  <si>
    <t>Task Description</t>
  </si>
  <si>
    <t>Story Points (1,2,3,4,5)</t>
  </si>
  <si>
    <t>Due Date</t>
  </si>
  <si>
    <t>Priority</t>
  </si>
  <si>
    <t>Risk</t>
  </si>
  <si>
    <t>Assignmed Members</t>
  </si>
  <si>
    <t>#1</t>
  </si>
  <si>
    <t xml:space="preserve">Story 1: 
As a new user, I want to create an account, so that I can save my recipes and meal plans.
</t>
  </si>
  <si>
    <t>Design registration form (email, password, confirm password)
Client-side validation (required fields, password rules)
Backend API endpoint for user registration
Hash and store passwords securely
Handle duplicate email errors
Return success/error responses
Redirect user after successful registration</t>
  </si>
  <si>
    <t>High</t>
  </si>
  <si>
    <t>Medium</t>
  </si>
  <si>
    <t>Jacob, Khaled, Guyass, Tin, Deep, Jingyu</t>
  </si>
  <si>
    <t>#2</t>
  </si>
  <si>
    <t>Story 2:
As a registered user, I want to log in, so that I can access my saved data.</t>
  </si>
  <si>
    <t>Design login form
Client-side validation
Backend login endpoint
Password verification
Implement session or token-based authentication
Store auth token securely (cookie/local storage)
Handle invalid credentials
Redirect to dashboard or meal planner</t>
  </si>
  <si>
    <t>#3</t>
  </si>
  <si>
    <t>Story 3:
As a user, I want to manage my profile information, so that the app can personalize recipes and meal plans.</t>
  </si>
  <si>
    <t>Create profile page UI
Fields for diet preferences (e.g. vegetarian, vegan)
Fields for allergies (multi-select or text input)
Backend endpoint to fetch profile data
Backend endpoint to update profile data
Save preferences to database
Validate inputs
Show confirmation on save</t>
  </si>
  <si>
    <t>Low</t>
  </si>
  <si>
    <t>#4</t>
  </si>
  <si>
    <t xml:space="preserve">Story 4:
As a user, I want to create a recipe, so that I can reuse it in my meal plans.
</t>
  </si>
  <si>
    <t>Design recipe creation form
Fields: Title, Ingredients list, Preparation steps, Prep time, 
Difficulty, Cost estimate, Dietary tags Client-side validation.
Backend API to create recipe
Associate recipe with user
Save recipe to database
Show success message</t>
  </si>
  <si>
    <t>#5</t>
  </si>
  <si>
    <t>Story 5:
As a user, I want to edit my recipes, so that I can keep them up to date.</t>
  </si>
  <si>
    <t>Fetch recipe data by ID
Pre-fill form with existing data
Allow editing of all fields
Backend API to update recipe
Validate ownership (user can only edit their recipes)
Save updated recipe
Show confirmation feedback</t>
  </si>
  <si>
    <t>#6</t>
  </si>
  <si>
    <t>Story 6:
As a user, I want to delete a recipe, so that I can remove recipes I no longer use.</t>
  </si>
  <si>
    <t>Add delete action (button/icon)
Confirmation modal
Backend API to delete recipe
Validate ownership
Remove recipe from database
Handle cases where recipe is used in meal plans
Refresh recipe list after deletion</t>
  </si>
  <si>
    <t>#7</t>
  </si>
  <si>
    <t>Story 7:
As a user, I want to search recipes by name or ingredients, so that I can quickly find what I need.</t>
  </si>
  <si>
    <t>Add search input field
Implement debounce for search input
Backend search endpoint
Query recipes by title and ingredients
Return matching results
Display search results list
Handle empty state (no results)</t>
  </si>
  <si>
    <t>#8</t>
  </si>
  <si>
    <t>Story 8:
As a user, I want to filter recipes, so that I can find meals that match my needs.</t>
  </si>
  <si>
    <t>Design filter UI: Time, Difficulty, Cost, Dietary tags
Backend filtering logic
Combine filters with search
Update results dynamically
Reset/clear filters option</t>
  </si>
  <si>
    <t>#9</t>
  </si>
  <si>
    <t>Story 9:
As a user, I want to create a weekly meal plan, so that I can organize my meals in advance.</t>
  </si>
  <si>
    <t>#10</t>
  </si>
  <si>
    <t>Story 10:
As a user, I want to view my meals in a weekly grid, so that I can easily see my plan.</t>
  </si>
  <si>
    <t>Design weekly grid UI (days × meal types)
Fetch meal plan data for selected week
Map meals to grid cells
Handle empty cells
Allow switching between weeks
Loading and error states</t>
  </si>
  <si>
    <t>#11</t>
  </si>
  <si>
    <t>Story 11:
As a user, I want to assign a recipe to a specific day and meal type, so that my plan is structured.</t>
  </si>
  <si>
    <t>Add “Add meal” interaction in grid
Recipe selection modal/dropdown
Backend API to assign recipe to slot
Validate: No duplicate recipe in the same week, 
Valid day and meal type
Save assignment
Update UI immediately</t>
  </si>
  <si>
    <t>#12</t>
  </si>
  <si>
    <t>Story 12:
As a user, I want to edit or remove meals from my planner, so that I can adjust my week.</t>
  </si>
  <si>
    <t>Add edit/remove options to each meal slot
Confirmation before removal
Backend API to update or delete meal assignment
Update planner UI
Handle edge cases (missing recipe, deleted recipe)</t>
  </si>
  <si>
    <t>#13</t>
  </si>
  <si>
    <t>Story 13:
As a user, I want the planner to prevent duplicate recipes in the same week, so that my meals stay varied.</t>
  </si>
  <si>
    <t>Track assigned recipes per week
Backend validation for duplicates
Frontend warning message
Disable already-used recipes in selector
Handle error responses gracefully</t>
  </si>
  <si>
    <t>Total</t>
  </si>
  <si>
    <t>Sprint 1:</t>
  </si>
  <si>
    <t>Tin</t>
  </si>
  <si>
    <t>Guyass</t>
  </si>
  <si>
    <t>Khaled</t>
  </si>
  <si>
    <t>Jacob</t>
  </si>
  <si>
    <t>Deep</t>
  </si>
  <si>
    <t>Jinyu</t>
  </si>
  <si>
    <t>Login page</t>
  </si>
  <si>
    <t>Registration page</t>
  </si>
  <si>
    <t>Home page</t>
  </si>
  <si>
    <t>Landing page</t>
  </si>
  <si>
    <t>Meal preferences</t>
  </si>
  <si>
    <t>Environment Configuration</t>
  </si>
  <si>
    <t>Database Configuration</t>
  </si>
  <si>
    <t>Sprint Planning</t>
  </si>
  <si>
    <t>User stories</t>
  </si>
  <si>
    <t>Meetings</t>
  </si>
  <si>
    <t>Total (minutes):</t>
  </si>
  <si>
    <t>Total hours</t>
  </si>
  <si>
    <t>Create recipe</t>
  </si>
  <si>
    <t>Recipe details page</t>
  </si>
  <si>
    <t>Search recipes</t>
  </si>
  <si>
    <t>Filter recipes</t>
  </si>
  <si>
    <t>Frontend–backend integration</t>
  </si>
  <si>
    <t>Recipe Model</t>
  </si>
  <si>
    <t>Edit Recipe</t>
  </si>
  <si>
    <t>Delete Recipe</t>
  </si>
  <si>
    <t>Recipe List Page</t>
  </si>
  <si>
    <t>Acceptance tests (Sprint 1)</t>
  </si>
  <si>
    <t>CI pipeline setup</t>
  </si>
  <si>
    <t>Sprint planning</t>
  </si>
  <si>
    <t>Sprint 2:</t>
  </si>
  <si>
    <t xml:space="preserve">Meal planner model </t>
  </si>
  <si>
    <t>Create weekly meal plan</t>
  </si>
  <si>
    <t>Meal planner grid UI</t>
  </si>
  <si>
    <t>Assign recipes to meals</t>
  </si>
  <si>
    <t>Edit meals</t>
  </si>
  <si>
    <t>Prevent duplicate meals</t>
  </si>
  <si>
    <t>Acceptance tests (Sprint 2)</t>
  </si>
  <si>
    <t>Unit testing (Sprint 1 &amp; 2)</t>
  </si>
  <si>
    <t>Ci pipeline 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</si>
</sst>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"/>
  </numFmts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b/>
      <sz val="20"/>
      <color theme="1"/>
      <name val="Calibri"/>
    </font>
    <font>
      <sz val="13"/>
      <color theme="1"/>
      <name val="Calibri"/>
    </font>
    <font>
      <b/>
      <sz val="14"/>
      <color theme="1"/>
      <name val="Calibri"/>
    </font>
    <font>
      <b/>
      <sz val="12"/>
      <color rgb="FFFFFFFF"/>
      <name val="Calibri"/>
    </font>
    <font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ck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6" fillId="2" borderId="1" xfId="0" applyFont="1" applyFill="1" applyBorder="1"/>
    <xf numFmtId="0" fontId="6" fillId="2" borderId="2" xfId="0" applyFont="1" applyFill="1" applyBorder="1"/>
    <xf numFmtId="0" fontId="7" fillId="0" borderId="3" xfId="0" applyFont="1" applyBorder="1"/>
    <xf numFmtId="0" fontId="7" fillId="0" borderId="4" xfId="0" applyFont="1" applyBorder="1" applyAlignment="1">
      <alignment wrapText="1"/>
    </xf>
    <xf numFmtId="0" fontId="7" fillId="0" borderId="4" xfId="0" applyFont="1" applyBorder="1"/>
    <xf numFmtId="0" fontId="7" fillId="0" borderId="4" xfId="0" applyFont="1" applyBorder="1" applyAlignment="1">
      <alignment horizontal="right"/>
    </xf>
    <xf numFmtId="164" fontId="7" fillId="0" borderId="4" xfId="0" applyNumberFormat="1" applyFont="1" applyBorder="1" applyAlignment="1">
      <alignment horizontal="right"/>
    </xf>
    <xf numFmtId="0" fontId="7" fillId="0" borderId="5" xfId="0" applyFont="1" applyBorder="1" applyAlignment="1">
      <alignment wrapText="1"/>
    </xf>
    <xf numFmtId="0" fontId="7" fillId="0" borderId="5" xfId="0" applyFont="1" applyBorder="1"/>
    <xf numFmtId="0" fontId="7" fillId="0" borderId="5" xfId="0" applyFont="1" applyBorder="1" applyAlignment="1">
      <alignment horizontal="right"/>
    </xf>
    <xf numFmtId="0" fontId="7" fillId="0" borderId="6" xfId="0" applyFont="1" applyBorder="1"/>
    <xf numFmtId="0" fontId="7" fillId="0" borderId="7" xfId="0" applyFont="1" applyBorder="1"/>
    <xf numFmtId="0" fontId="8" fillId="0" borderId="0" xfId="0" applyFont="1"/>
    <xf numFmtId="164" fontId="7" fillId="0" borderId="7" xfId="0" applyNumberFormat="1" applyFont="1" applyBorder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7" fillId="0" borderId="8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11" fillId="0" borderId="0" xfId="0" applyFont="1"/>
    <xf numFmtId="0" fontId="9" fillId="0" borderId="9" xfId="0" applyFont="1" applyBorder="1" applyAlignment="1">
      <alignment vertical="center" wrapText="1"/>
    </xf>
    <xf numFmtId="0" fontId="10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1" fillId="0" borderId="9" xfId="0" applyFont="1" applyBorder="1"/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ime blog-style" pivot="0" count="4" xr9:uid="{00000000-0011-0000-FFFF-FFFF00000000}">
      <tableStyleElement type="wholeTable" size="0" dxfId="11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G14">
  <tableColumns count="7">
    <tableColumn id="1" xr3:uid="{00000000-0010-0000-0000-000001000000}" name="Sprint 1:"/>
    <tableColumn id="2" xr3:uid="{00000000-0010-0000-0000-000002000000}" name="Tin"/>
    <tableColumn id="3" xr3:uid="{00000000-0010-0000-0000-000003000000}" name="Guyass"/>
    <tableColumn id="4" xr3:uid="{00000000-0010-0000-0000-000004000000}" name="Khaled"/>
    <tableColumn id="5" xr3:uid="{00000000-0010-0000-0000-000005000000}" name="Jacob"/>
    <tableColumn id="6" xr3:uid="{00000000-0010-0000-0000-000006000000}" name="Deep"/>
    <tableColumn id="7" xr3:uid="{00000000-0010-0000-0000-000007000000}" name="Jinyu"/>
  </tableColumns>
  <tableStyleInfo name="Time b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D52D4F-72F6-AC4E-AAAD-DABA4273461C}" name="Table14" displayName="Table14" ref="A1:F17">
  <tableColumns count="6">
    <tableColumn id="1" xr3:uid="{F271E220-8185-6543-87FD-582901246DFE}" name="Sprint 2:"/>
    <tableColumn id="2" xr3:uid="{57E35214-B8B6-764F-A0E1-32CF9A2A75E5}" name="Tin" dataDxfId="10"/>
    <tableColumn id="3" xr3:uid="{60434D5B-E5D6-8340-8423-391D76EAC69D}" name="Guyass" dataDxfId="9"/>
    <tableColumn id="4" xr3:uid="{B69E75FE-DD9F-E743-B6CB-E3009D43297C}" name="Khaled" dataDxfId="8"/>
    <tableColumn id="5" xr3:uid="{FCCEE399-4AB5-374F-BB8F-F0005A7361AA}" name="Jacob" dataDxfId="7"/>
    <tableColumn id="6" xr3:uid="{DAFCD9B3-D1A6-C546-8AC9-079A5FE597B9}" name="Deep" dataDxfId="6"/>
  </tableColumns>
  <tableStyleInfo name="Time blo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B8972-643C-C047-8176-84315C8975E4}" name="Table145" displayName="Table145" ref="A1:F15">
  <tableColumns count="6">
    <tableColumn id="1" xr3:uid="{15AA845B-3DFD-194E-BFF1-6823EE0940FE}" name="Sprint 2:"/>
    <tableColumn id="2" xr3:uid="{A5A87621-5F31-2543-B95C-43026A3245E4}" name="Tin" dataDxfId="5"/>
    <tableColumn id="3" xr3:uid="{7DDB9BBE-67FC-FD49-8936-3FCB0D393B0E}" name="Guyass" dataDxfId="4"/>
    <tableColumn id="4" xr3:uid="{D7EE5F83-1DE6-D94F-93DB-BF13A47113AB}" name="Khaled" dataDxfId="3"/>
    <tableColumn id="5" xr3:uid="{BB380029-E5DA-BA4B-8672-3C25F4D1DE3D}" name="Jacob" dataDxfId="2"/>
    <tableColumn id="6" xr3:uid="{406AA7E0-55B6-E847-9DF7-FD31073E76E0}" name="Deep" dataDxfId="1"/>
  </tableColumns>
  <tableStyleInfo name="Time blo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D17"/>
  <sheetViews>
    <sheetView workbookViewId="0"/>
  </sheetViews>
  <sheetFormatPr baseColWidth="10" defaultColWidth="12.6640625" defaultRowHeight="15.75" customHeight="1" x14ac:dyDescent="0.15"/>
  <cols>
    <col min="3" max="3" width="46.5" customWidth="1"/>
  </cols>
  <sheetData>
    <row r="1" spans="2:4" ht="15.75" customHeight="1" x14ac:dyDescent="0.15">
      <c r="B1" s="1"/>
      <c r="C1" s="1"/>
      <c r="D1" s="1"/>
    </row>
    <row r="2" spans="2:4" x14ac:dyDescent="0.2">
      <c r="B2" s="1"/>
      <c r="C2" s="2"/>
      <c r="D2" s="1"/>
    </row>
    <row r="3" spans="2:4" x14ac:dyDescent="0.2">
      <c r="B3" s="1"/>
      <c r="C3" s="2"/>
      <c r="D3" s="1"/>
    </row>
    <row r="4" spans="2:4" ht="15.75" customHeight="1" x14ac:dyDescent="0.3">
      <c r="B4" s="1"/>
      <c r="C4" s="3" t="s">
        <v>0</v>
      </c>
      <c r="D4" s="1"/>
    </row>
    <row r="5" spans="2:4" x14ac:dyDescent="0.2">
      <c r="B5" s="1"/>
      <c r="C5" s="4" t="s">
        <v>1</v>
      </c>
      <c r="D5" s="1"/>
    </row>
    <row r="6" spans="2:4" x14ac:dyDescent="0.2">
      <c r="B6" s="1"/>
      <c r="C6" s="2"/>
      <c r="D6" s="1"/>
    </row>
    <row r="7" spans="2:4" x14ac:dyDescent="0.2">
      <c r="B7" s="1"/>
      <c r="C7" s="5" t="s">
        <v>2</v>
      </c>
      <c r="D7" s="1"/>
    </row>
    <row r="8" spans="2:4" x14ac:dyDescent="0.2">
      <c r="B8" s="1"/>
      <c r="C8" s="4"/>
      <c r="D8" s="1"/>
    </row>
    <row r="9" spans="2:4" ht="15.75" customHeight="1" x14ac:dyDescent="0.25">
      <c r="B9" s="1"/>
      <c r="C9" s="6" t="s">
        <v>3</v>
      </c>
      <c r="D9" s="1"/>
    </row>
    <row r="10" spans="2:4" ht="15.75" customHeight="1" x14ac:dyDescent="0.25">
      <c r="B10" s="1"/>
      <c r="C10" s="6" t="s">
        <v>4</v>
      </c>
      <c r="D10" s="1"/>
    </row>
    <row r="11" spans="2:4" ht="15.75" customHeight="1" x14ac:dyDescent="0.25">
      <c r="B11" s="1"/>
      <c r="C11" s="6" t="s">
        <v>5</v>
      </c>
      <c r="D11" s="1"/>
    </row>
    <row r="12" spans="2:4" ht="15.75" customHeight="1" x14ac:dyDescent="0.25">
      <c r="B12" s="1"/>
      <c r="C12" s="6" t="s">
        <v>6</v>
      </c>
      <c r="D12" s="1"/>
    </row>
    <row r="13" spans="2:4" ht="15.75" customHeight="1" x14ac:dyDescent="0.25">
      <c r="B13" s="1"/>
      <c r="C13" s="6" t="s">
        <v>7</v>
      </c>
      <c r="D13" s="1"/>
    </row>
    <row r="14" spans="2:4" ht="15.75" customHeight="1" x14ac:dyDescent="0.25">
      <c r="B14" s="1"/>
      <c r="C14" s="6" t="s">
        <v>8</v>
      </c>
      <c r="D14" s="1"/>
    </row>
    <row r="15" spans="2:4" ht="15.75" customHeight="1" x14ac:dyDescent="0.25">
      <c r="B15" s="1"/>
      <c r="C15" s="6" t="s">
        <v>9</v>
      </c>
      <c r="D15" s="1"/>
    </row>
    <row r="16" spans="2:4" x14ac:dyDescent="0.2">
      <c r="B16" s="1"/>
      <c r="C16" s="2"/>
      <c r="D16" s="1"/>
    </row>
    <row r="17" spans="2:4" x14ac:dyDescent="0.2">
      <c r="B17" s="1"/>
      <c r="C17" s="2"/>
      <c r="D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5"/>
  <sheetViews>
    <sheetView workbookViewId="0"/>
  </sheetViews>
  <sheetFormatPr baseColWidth="10" defaultColWidth="12.6640625" defaultRowHeight="15.75" customHeight="1" x14ac:dyDescent="0.15"/>
  <cols>
    <col min="2" max="2" width="59.83203125" customWidth="1"/>
    <col min="3" max="3" width="47.5" customWidth="1"/>
    <col min="4" max="4" width="19.6640625" customWidth="1"/>
    <col min="8" max="8" width="18.33203125" customWidth="1"/>
  </cols>
  <sheetData>
    <row r="1" spans="1:8" x14ac:dyDescent="0.2">
      <c r="A1" s="7" t="s">
        <v>10</v>
      </c>
      <c r="B1" s="8" t="s">
        <v>11</v>
      </c>
      <c r="C1" s="8" t="s">
        <v>12</v>
      </c>
      <c r="D1" s="8" t="s">
        <v>13</v>
      </c>
      <c r="E1" s="8" t="s">
        <v>14</v>
      </c>
      <c r="F1" s="8" t="s">
        <v>15</v>
      </c>
      <c r="G1" s="8" t="s">
        <v>16</v>
      </c>
      <c r="H1" s="8" t="s">
        <v>17</v>
      </c>
    </row>
    <row r="2" spans="1:8" ht="15.75" customHeight="1" x14ac:dyDescent="0.15">
      <c r="A2" s="9" t="s">
        <v>18</v>
      </c>
      <c r="B2" s="10" t="s">
        <v>19</v>
      </c>
      <c r="C2" s="11" t="s">
        <v>20</v>
      </c>
      <c r="D2" s="12">
        <v>5</v>
      </c>
      <c r="E2" s="13">
        <v>46059</v>
      </c>
      <c r="F2" s="11" t="s">
        <v>21</v>
      </c>
      <c r="G2" s="11" t="s">
        <v>22</v>
      </c>
      <c r="H2" s="10" t="s">
        <v>23</v>
      </c>
    </row>
    <row r="3" spans="1:8" ht="15.75" customHeight="1" x14ac:dyDescent="0.15">
      <c r="A3" s="9" t="s">
        <v>24</v>
      </c>
      <c r="B3" s="10" t="s">
        <v>25</v>
      </c>
      <c r="C3" s="11" t="s">
        <v>26</v>
      </c>
      <c r="D3" s="12">
        <v>3</v>
      </c>
      <c r="E3" s="13">
        <v>46059</v>
      </c>
      <c r="F3" s="11" t="s">
        <v>21</v>
      </c>
      <c r="G3" s="11" t="s">
        <v>22</v>
      </c>
      <c r="H3" s="10" t="s">
        <v>23</v>
      </c>
    </row>
    <row r="4" spans="1:8" ht="15.75" customHeight="1" x14ac:dyDescent="0.15">
      <c r="A4" s="9" t="s">
        <v>27</v>
      </c>
      <c r="B4" s="10" t="s">
        <v>28</v>
      </c>
      <c r="C4" s="11" t="s">
        <v>29</v>
      </c>
      <c r="D4" s="12">
        <v>3</v>
      </c>
      <c r="E4" s="13">
        <v>46059</v>
      </c>
      <c r="F4" s="11" t="s">
        <v>22</v>
      </c>
      <c r="G4" s="11" t="s">
        <v>30</v>
      </c>
      <c r="H4" s="10" t="s">
        <v>23</v>
      </c>
    </row>
    <row r="5" spans="1:8" ht="15.75" customHeight="1" x14ac:dyDescent="0.15">
      <c r="A5" s="9" t="s">
        <v>31</v>
      </c>
      <c r="B5" s="10" t="s">
        <v>32</v>
      </c>
      <c r="C5" s="11" t="s">
        <v>33</v>
      </c>
      <c r="D5" s="12">
        <v>5</v>
      </c>
      <c r="E5" s="13">
        <v>46080</v>
      </c>
      <c r="F5" s="11" t="s">
        <v>21</v>
      </c>
      <c r="G5" s="11" t="s">
        <v>22</v>
      </c>
      <c r="H5" s="10" t="s">
        <v>23</v>
      </c>
    </row>
    <row r="6" spans="1:8" ht="15.75" customHeight="1" x14ac:dyDescent="0.15">
      <c r="A6" s="9" t="s">
        <v>34</v>
      </c>
      <c r="B6" s="10" t="s">
        <v>35</v>
      </c>
      <c r="C6" s="11" t="s">
        <v>36</v>
      </c>
      <c r="D6" s="12">
        <v>3</v>
      </c>
      <c r="E6" s="13">
        <v>46080</v>
      </c>
      <c r="F6" s="11" t="s">
        <v>22</v>
      </c>
      <c r="G6" s="11" t="s">
        <v>30</v>
      </c>
      <c r="H6" s="10" t="s">
        <v>23</v>
      </c>
    </row>
    <row r="7" spans="1:8" ht="15.75" customHeight="1" x14ac:dyDescent="0.15">
      <c r="A7" s="9" t="s">
        <v>37</v>
      </c>
      <c r="B7" s="10" t="s">
        <v>38</v>
      </c>
      <c r="C7" s="11" t="s">
        <v>39</v>
      </c>
      <c r="D7" s="12">
        <v>2</v>
      </c>
      <c r="E7" s="13">
        <v>46080</v>
      </c>
      <c r="F7" s="11" t="s">
        <v>22</v>
      </c>
      <c r="G7" s="11" t="s">
        <v>22</v>
      </c>
      <c r="H7" s="10" t="s">
        <v>23</v>
      </c>
    </row>
    <row r="8" spans="1:8" ht="15.75" customHeight="1" x14ac:dyDescent="0.15">
      <c r="A8" s="9" t="s">
        <v>40</v>
      </c>
      <c r="B8" s="10" t="s">
        <v>41</v>
      </c>
      <c r="C8" s="11" t="s">
        <v>42</v>
      </c>
      <c r="D8" s="12">
        <v>5</v>
      </c>
      <c r="E8" s="13">
        <v>46080</v>
      </c>
      <c r="F8" s="11" t="s">
        <v>22</v>
      </c>
      <c r="G8" s="11" t="s">
        <v>22</v>
      </c>
      <c r="H8" s="10" t="s">
        <v>23</v>
      </c>
    </row>
    <row r="9" spans="1:8" ht="15.75" customHeight="1" x14ac:dyDescent="0.15">
      <c r="A9" s="9" t="s">
        <v>43</v>
      </c>
      <c r="B9" s="10" t="s">
        <v>44</v>
      </c>
      <c r="C9" s="11" t="s">
        <v>45</v>
      </c>
      <c r="D9" s="12">
        <v>5</v>
      </c>
      <c r="E9" s="13">
        <v>46080</v>
      </c>
      <c r="F9" s="11" t="s">
        <v>22</v>
      </c>
      <c r="G9" s="11" t="s">
        <v>22</v>
      </c>
      <c r="H9" s="10" t="s">
        <v>23</v>
      </c>
    </row>
    <row r="10" spans="1:8" ht="15.75" customHeight="1" x14ac:dyDescent="0.15">
      <c r="A10" s="9" t="s">
        <v>46</v>
      </c>
      <c r="B10" s="10" t="s">
        <v>47</v>
      </c>
      <c r="C10" s="11" t="s">
        <v>39</v>
      </c>
      <c r="D10" s="12">
        <v>5</v>
      </c>
      <c r="E10" s="13">
        <v>46108</v>
      </c>
      <c r="F10" s="11" t="s">
        <v>22</v>
      </c>
      <c r="G10" s="11" t="s">
        <v>22</v>
      </c>
      <c r="H10" s="10" t="s">
        <v>23</v>
      </c>
    </row>
    <row r="11" spans="1:8" ht="15.75" customHeight="1" x14ac:dyDescent="0.15">
      <c r="A11" s="9" t="s">
        <v>48</v>
      </c>
      <c r="B11" s="10" t="s">
        <v>49</v>
      </c>
      <c r="C11" s="11" t="s">
        <v>50</v>
      </c>
      <c r="D11" s="12">
        <v>5</v>
      </c>
      <c r="E11" s="13">
        <v>46108</v>
      </c>
      <c r="F11" s="11" t="s">
        <v>21</v>
      </c>
      <c r="G11" s="11" t="s">
        <v>21</v>
      </c>
      <c r="H11" s="10" t="s">
        <v>23</v>
      </c>
    </row>
    <row r="12" spans="1:8" ht="15.75" customHeight="1" x14ac:dyDescent="0.15">
      <c r="A12" s="9" t="s">
        <v>51</v>
      </c>
      <c r="B12" s="10" t="s">
        <v>52</v>
      </c>
      <c r="C12" s="11" t="s">
        <v>53</v>
      </c>
      <c r="D12" s="12">
        <v>3</v>
      </c>
      <c r="E12" s="13">
        <v>46108</v>
      </c>
      <c r="F12" s="11" t="s">
        <v>22</v>
      </c>
      <c r="G12" s="11" t="s">
        <v>22</v>
      </c>
      <c r="H12" s="10" t="s">
        <v>23</v>
      </c>
    </row>
    <row r="13" spans="1:8" ht="15.75" customHeight="1" x14ac:dyDescent="0.15">
      <c r="A13" s="9" t="s">
        <v>54</v>
      </c>
      <c r="B13" s="10" t="s">
        <v>55</v>
      </c>
      <c r="C13" s="11" t="s">
        <v>56</v>
      </c>
      <c r="D13" s="12">
        <v>5</v>
      </c>
      <c r="E13" s="13">
        <v>46108</v>
      </c>
      <c r="F13" s="11" t="s">
        <v>21</v>
      </c>
      <c r="G13" s="11" t="s">
        <v>21</v>
      </c>
      <c r="H13" s="10" t="s">
        <v>23</v>
      </c>
    </row>
    <row r="14" spans="1:8" ht="15.75" customHeight="1" x14ac:dyDescent="0.15">
      <c r="A14" s="9" t="s">
        <v>57</v>
      </c>
      <c r="B14" s="14" t="s">
        <v>58</v>
      </c>
      <c r="C14" s="15" t="s">
        <v>59</v>
      </c>
      <c r="D14" s="16">
        <v>5</v>
      </c>
      <c r="E14" s="13">
        <v>46108</v>
      </c>
      <c r="F14" s="15" t="s">
        <v>21</v>
      </c>
      <c r="G14" s="15" t="s">
        <v>21</v>
      </c>
      <c r="H14" s="10" t="s">
        <v>23</v>
      </c>
    </row>
    <row r="15" spans="1:8" ht="15.75" customHeight="1" x14ac:dyDescent="0.15">
      <c r="A15" s="17"/>
      <c r="B15" s="18"/>
      <c r="C15" s="19" t="s">
        <v>60</v>
      </c>
      <c r="D15" s="19">
        <f>SUM(D2:D14)</f>
        <v>54</v>
      </c>
      <c r="E15" s="20"/>
      <c r="F15" s="18"/>
      <c r="G15" s="18"/>
      <c r="H15" s="18"/>
    </row>
  </sheetData>
  <dataValidations count="2">
    <dataValidation type="list" allowBlank="1" showErrorMessage="1" sqref="G2:G14" xr:uid="{00000000-0002-0000-0100-000000000000}">
      <formula1>"Medium,Low,High"</formula1>
    </dataValidation>
    <dataValidation type="list" allowBlank="1" showErrorMessage="1" sqref="F2:F14" xr:uid="{00000000-0002-0000-0100-000001000000}">
      <formula1>"High,Medium"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G16"/>
  <sheetViews>
    <sheetView zoomScale="109" workbookViewId="0">
      <selection activeCell="A3" sqref="A3:G16"/>
    </sheetView>
  </sheetViews>
  <sheetFormatPr baseColWidth="10" defaultColWidth="12.6640625" defaultRowHeight="15.75" customHeight="1" x14ac:dyDescent="0.15"/>
  <cols>
    <col min="1" max="1" width="38.83203125" customWidth="1"/>
  </cols>
  <sheetData>
    <row r="2" spans="1:7" ht="13" x14ac:dyDescent="0.15">
      <c r="A2" s="21"/>
      <c r="C2" s="21"/>
      <c r="D2" s="21"/>
      <c r="E2" s="21"/>
      <c r="F2" s="21"/>
      <c r="G2" s="21"/>
    </row>
    <row r="3" spans="1:7" ht="22.5" customHeight="1" x14ac:dyDescent="0.15">
      <c r="A3" s="22" t="s">
        <v>61</v>
      </c>
      <c r="B3" s="22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</row>
    <row r="4" spans="1:7" ht="22.5" customHeight="1" x14ac:dyDescent="0.15">
      <c r="A4" s="23" t="s">
        <v>68</v>
      </c>
      <c r="B4" s="24">
        <v>0</v>
      </c>
      <c r="C4" s="24">
        <v>0</v>
      </c>
      <c r="D4" s="24">
        <v>60</v>
      </c>
      <c r="E4" s="24">
        <v>60</v>
      </c>
      <c r="F4" s="24">
        <v>0</v>
      </c>
      <c r="G4" s="24">
        <v>0</v>
      </c>
    </row>
    <row r="5" spans="1:7" ht="22.5" customHeight="1" x14ac:dyDescent="0.15">
      <c r="A5" s="23" t="s">
        <v>69</v>
      </c>
      <c r="B5" s="24">
        <v>0</v>
      </c>
      <c r="C5" s="24">
        <v>0</v>
      </c>
      <c r="D5" s="24">
        <v>60</v>
      </c>
      <c r="E5" s="24">
        <v>60</v>
      </c>
      <c r="F5" s="24">
        <v>0</v>
      </c>
      <c r="G5" s="24">
        <v>0</v>
      </c>
    </row>
    <row r="6" spans="1:7" ht="22.5" customHeight="1" x14ac:dyDescent="0.15">
      <c r="A6" s="23" t="s">
        <v>70</v>
      </c>
      <c r="B6" s="24">
        <v>0</v>
      </c>
      <c r="C6" s="24">
        <v>0</v>
      </c>
      <c r="D6" s="24">
        <v>30</v>
      </c>
      <c r="E6" s="24">
        <v>30</v>
      </c>
      <c r="F6" s="24">
        <v>0</v>
      </c>
      <c r="G6" s="24">
        <v>0</v>
      </c>
    </row>
    <row r="7" spans="1:7" ht="22.5" customHeight="1" x14ac:dyDescent="0.15">
      <c r="A7" s="25" t="s">
        <v>71</v>
      </c>
      <c r="B7" s="24">
        <v>0</v>
      </c>
      <c r="C7" s="24">
        <v>0</v>
      </c>
      <c r="D7" s="24">
        <v>15</v>
      </c>
      <c r="E7" s="24">
        <v>15</v>
      </c>
      <c r="F7" s="24">
        <v>0</v>
      </c>
      <c r="G7" s="24">
        <v>0</v>
      </c>
    </row>
    <row r="8" spans="1:7" ht="22.5" customHeight="1" x14ac:dyDescent="0.15">
      <c r="A8" s="25" t="s">
        <v>72</v>
      </c>
      <c r="B8" s="24">
        <v>0</v>
      </c>
      <c r="C8" s="24">
        <v>120</v>
      </c>
      <c r="D8" s="24">
        <v>0</v>
      </c>
      <c r="E8" s="24">
        <v>0</v>
      </c>
      <c r="F8" s="24">
        <v>0</v>
      </c>
      <c r="G8" s="24">
        <v>0</v>
      </c>
    </row>
    <row r="9" spans="1:7" ht="22.5" customHeight="1" x14ac:dyDescent="0.15">
      <c r="A9" s="25" t="s">
        <v>73</v>
      </c>
      <c r="B9" s="24">
        <v>0</v>
      </c>
      <c r="C9" s="24">
        <v>15</v>
      </c>
      <c r="D9" s="24">
        <v>15</v>
      </c>
      <c r="E9" s="24">
        <v>15</v>
      </c>
      <c r="F9" s="24">
        <v>0</v>
      </c>
      <c r="G9" s="24">
        <v>0</v>
      </c>
    </row>
    <row r="10" spans="1:7" ht="22.5" customHeight="1" x14ac:dyDescent="0.15">
      <c r="A10" s="25" t="s">
        <v>74</v>
      </c>
      <c r="B10" s="24">
        <v>0</v>
      </c>
      <c r="C10" s="24">
        <v>60</v>
      </c>
      <c r="D10" s="24">
        <v>60</v>
      </c>
      <c r="E10" s="24">
        <v>60</v>
      </c>
      <c r="F10" s="24">
        <v>0</v>
      </c>
      <c r="G10" s="24">
        <v>0</v>
      </c>
    </row>
    <row r="11" spans="1:7" ht="22.5" customHeight="1" x14ac:dyDescent="0.15">
      <c r="A11" s="25" t="s">
        <v>75</v>
      </c>
      <c r="B11" s="24">
        <v>120</v>
      </c>
      <c r="C11" s="24">
        <v>0</v>
      </c>
      <c r="D11" s="24">
        <v>0</v>
      </c>
      <c r="E11" s="24">
        <v>0</v>
      </c>
      <c r="F11" s="24">
        <v>120</v>
      </c>
      <c r="G11" s="24">
        <v>60</v>
      </c>
    </row>
    <row r="12" spans="1:7" ht="22.5" customHeight="1" x14ac:dyDescent="0.15">
      <c r="A12" s="25" t="s">
        <v>76</v>
      </c>
      <c r="B12" s="24">
        <v>60</v>
      </c>
      <c r="C12" s="24">
        <v>0</v>
      </c>
      <c r="D12" s="24">
        <v>0</v>
      </c>
      <c r="E12" s="24">
        <v>0</v>
      </c>
      <c r="F12" s="24">
        <v>60</v>
      </c>
      <c r="G12" s="24">
        <v>60</v>
      </c>
    </row>
    <row r="13" spans="1:7" ht="22.5" customHeight="1" x14ac:dyDescent="0.15">
      <c r="A13" s="25" t="s">
        <v>77</v>
      </c>
      <c r="B13" s="24">
        <v>120</v>
      </c>
      <c r="C13" s="24">
        <v>120</v>
      </c>
      <c r="D13" s="24">
        <v>120</v>
      </c>
      <c r="E13" s="24">
        <v>120</v>
      </c>
      <c r="F13" s="24">
        <v>120</v>
      </c>
      <c r="G13" s="24">
        <v>120</v>
      </c>
    </row>
    <row r="14" spans="1:7" ht="22.5" customHeight="1" x14ac:dyDescent="0.15">
      <c r="A14" s="25" t="s">
        <v>78</v>
      </c>
      <c r="B14" s="26">
        <f t="shared" ref="B14:G14" si="0">SUM(B4:B13)</f>
        <v>300</v>
      </c>
      <c r="C14" s="26">
        <f t="shared" si="0"/>
        <v>315</v>
      </c>
      <c r="D14" s="26">
        <f t="shared" si="0"/>
        <v>360</v>
      </c>
      <c r="E14" s="26">
        <f t="shared" si="0"/>
        <v>360</v>
      </c>
      <c r="F14" s="26">
        <f t="shared" si="0"/>
        <v>300</v>
      </c>
      <c r="G14" s="26">
        <f t="shared" si="0"/>
        <v>240</v>
      </c>
    </row>
    <row r="16" spans="1:7" ht="13" x14ac:dyDescent="0.15">
      <c r="A16" s="21" t="s">
        <v>79</v>
      </c>
      <c r="B16" s="21">
        <f>SUM(B14:G14)/60</f>
        <v>31.25</v>
      </c>
    </row>
  </sheetData>
  <conditionalFormatting sqref="B15:G15">
    <cfRule type="notContainsBlanks" dxfId="0" priority="1">
      <formula>LEN(TRIM(B15))&gt;0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977B5-B58E-E345-8612-3761FD5AB99B}">
  <dimension ref="A1:F17"/>
  <sheetViews>
    <sheetView zoomScale="150" workbookViewId="0">
      <selection activeCell="H16" sqref="H16"/>
    </sheetView>
  </sheetViews>
  <sheetFormatPr baseColWidth="10" defaultRowHeight="13" x14ac:dyDescent="0.15"/>
  <cols>
    <col min="1" max="1" width="22" customWidth="1"/>
  </cols>
  <sheetData>
    <row r="1" spans="1:6" ht="32" customHeight="1" x14ac:dyDescent="0.15">
      <c r="A1" s="36" t="s">
        <v>92</v>
      </c>
      <c r="B1" s="22" t="s">
        <v>62</v>
      </c>
      <c r="C1" s="22" t="s">
        <v>63</v>
      </c>
      <c r="D1" s="22" t="s">
        <v>64</v>
      </c>
      <c r="E1" s="22" t="s">
        <v>65</v>
      </c>
      <c r="F1" s="22" t="s">
        <v>66</v>
      </c>
    </row>
    <row r="2" spans="1:6" ht="14" x14ac:dyDescent="0.15">
      <c r="A2" s="28" t="s">
        <v>85</v>
      </c>
      <c r="B2" s="33">
        <v>90</v>
      </c>
      <c r="C2" s="33">
        <v>0</v>
      </c>
      <c r="D2" s="33">
        <v>0</v>
      </c>
      <c r="E2" s="33">
        <v>0</v>
      </c>
      <c r="F2" s="33">
        <v>90</v>
      </c>
    </row>
    <row r="3" spans="1:6" ht="14" x14ac:dyDescent="0.15">
      <c r="A3" s="28" t="s">
        <v>80</v>
      </c>
      <c r="B3" s="33">
        <v>120</v>
      </c>
      <c r="C3" s="33">
        <v>0</v>
      </c>
      <c r="D3" s="33">
        <v>0</v>
      </c>
      <c r="E3" s="33">
        <v>0</v>
      </c>
      <c r="F3" s="33">
        <v>60</v>
      </c>
    </row>
    <row r="4" spans="1:6" ht="14" x14ac:dyDescent="0.15">
      <c r="A4" s="28" t="s">
        <v>86</v>
      </c>
      <c r="B4" s="33">
        <v>90</v>
      </c>
      <c r="C4" s="33">
        <v>0</v>
      </c>
      <c r="D4" s="33">
        <v>0</v>
      </c>
      <c r="E4" s="33">
        <v>0</v>
      </c>
      <c r="F4" s="33">
        <v>90</v>
      </c>
    </row>
    <row r="5" spans="1:6" x14ac:dyDescent="0.15">
      <c r="A5" s="29" t="s">
        <v>87</v>
      </c>
      <c r="B5" s="33">
        <v>60</v>
      </c>
      <c r="C5" s="33">
        <v>0</v>
      </c>
      <c r="D5" s="33">
        <v>0</v>
      </c>
      <c r="E5" s="33">
        <v>0</v>
      </c>
      <c r="F5" s="33">
        <v>60</v>
      </c>
    </row>
    <row r="6" spans="1:6" x14ac:dyDescent="0.15">
      <c r="A6" s="29" t="s">
        <v>88</v>
      </c>
      <c r="B6" s="33">
        <v>0</v>
      </c>
      <c r="C6" s="33">
        <v>30</v>
      </c>
      <c r="D6" s="33">
        <v>120</v>
      </c>
      <c r="E6" s="33">
        <v>120</v>
      </c>
      <c r="F6" s="33">
        <v>0</v>
      </c>
    </row>
    <row r="7" spans="1:6" x14ac:dyDescent="0.15">
      <c r="A7" s="29" t="s">
        <v>81</v>
      </c>
      <c r="B7" s="33">
        <v>0</v>
      </c>
      <c r="C7" s="33">
        <v>0</v>
      </c>
      <c r="D7" s="33">
        <v>90</v>
      </c>
      <c r="E7" s="33">
        <v>90</v>
      </c>
      <c r="F7" s="33">
        <v>0</v>
      </c>
    </row>
    <row r="8" spans="1:6" x14ac:dyDescent="0.15">
      <c r="A8" s="30" t="s">
        <v>74</v>
      </c>
      <c r="B8" s="33">
        <v>0</v>
      </c>
      <c r="C8" s="33">
        <v>0</v>
      </c>
      <c r="D8" s="33">
        <v>60</v>
      </c>
      <c r="E8" s="33">
        <v>60</v>
      </c>
      <c r="F8" s="33">
        <v>0</v>
      </c>
    </row>
    <row r="9" spans="1:6" x14ac:dyDescent="0.15">
      <c r="A9" s="29" t="s">
        <v>82</v>
      </c>
      <c r="B9" s="33">
        <v>0</v>
      </c>
      <c r="C9" s="33">
        <v>0</v>
      </c>
      <c r="D9" s="33">
        <v>0</v>
      </c>
      <c r="E9" s="33">
        <v>0</v>
      </c>
      <c r="F9" s="33">
        <v>0</v>
      </c>
    </row>
    <row r="10" spans="1:6" x14ac:dyDescent="0.15">
      <c r="A10" s="29" t="s">
        <v>83</v>
      </c>
      <c r="B10" s="33">
        <v>0</v>
      </c>
      <c r="C10" s="33">
        <v>120</v>
      </c>
      <c r="D10" s="33">
        <v>0</v>
      </c>
      <c r="E10" s="33">
        <v>30</v>
      </c>
      <c r="F10" s="33">
        <v>0</v>
      </c>
    </row>
    <row r="11" spans="1:6" x14ac:dyDescent="0.15">
      <c r="A11" s="29" t="s">
        <v>84</v>
      </c>
      <c r="B11" s="33">
        <v>0</v>
      </c>
      <c r="C11" s="33">
        <v>150</v>
      </c>
      <c r="D11" s="33">
        <v>30</v>
      </c>
      <c r="E11" s="33">
        <v>30</v>
      </c>
      <c r="F11" s="33">
        <v>0</v>
      </c>
    </row>
    <row r="12" spans="1:6" x14ac:dyDescent="0.15">
      <c r="A12" s="31" t="s">
        <v>89</v>
      </c>
      <c r="B12" s="34">
        <v>30</v>
      </c>
      <c r="C12" s="34">
        <v>0</v>
      </c>
      <c r="D12" s="34">
        <v>0</v>
      </c>
      <c r="E12" s="34">
        <v>0</v>
      </c>
      <c r="F12" s="34">
        <v>30</v>
      </c>
    </row>
    <row r="13" spans="1:6" x14ac:dyDescent="0.15">
      <c r="A13" s="31" t="s">
        <v>90</v>
      </c>
      <c r="B13" s="34">
        <v>120</v>
      </c>
      <c r="C13" s="34">
        <v>0</v>
      </c>
      <c r="D13" s="34">
        <v>0</v>
      </c>
      <c r="E13" s="34">
        <v>0</v>
      </c>
      <c r="F13" s="34">
        <v>60</v>
      </c>
    </row>
    <row r="14" spans="1:6" x14ac:dyDescent="0.15">
      <c r="A14" s="31" t="s">
        <v>91</v>
      </c>
      <c r="B14" s="34">
        <v>30</v>
      </c>
      <c r="C14" s="34">
        <v>30</v>
      </c>
      <c r="D14" s="34">
        <v>30</v>
      </c>
      <c r="E14" s="34">
        <v>30</v>
      </c>
      <c r="F14" s="34">
        <v>30</v>
      </c>
    </row>
    <row r="15" spans="1:6" x14ac:dyDescent="0.15">
      <c r="A15" s="31" t="s">
        <v>76</v>
      </c>
      <c r="B15" s="34">
        <v>30</v>
      </c>
      <c r="C15" s="34">
        <v>0</v>
      </c>
      <c r="D15" s="34">
        <v>0</v>
      </c>
      <c r="E15" s="34">
        <v>0</v>
      </c>
      <c r="F15" s="34">
        <v>30</v>
      </c>
    </row>
    <row r="16" spans="1:6" x14ac:dyDescent="0.15">
      <c r="A16" s="31" t="s">
        <v>77</v>
      </c>
      <c r="B16" s="34">
        <v>120</v>
      </c>
      <c r="C16" s="34">
        <v>120</v>
      </c>
      <c r="D16" s="34">
        <v>120</v>
      </c>
      <c r="E16" s="34">
        <v>120</v>
      </c>
      <c r="F16" s="34">
        <v>120</v>
      </c>
    </row>
    <row r="17" spans="1:6" x14ac:dyDescent="0.15">
      <c r="A17" s="32" t="s">
        <v>78</v>
      </c>
      <c r="B17" s="35">
        <f>SUM(B2:B16)</f>
        <v>690</v>
      </c>
      <c r="C17" s="35">
        <f t="shared" ref="C17:F17" si="0">SUM(C2:C16)</f>
        <v>450</v>
      </c>
      <c r="D17" s="35">
        <f t="shared" si="0"/>
        <v>450</v>
      </c>
      <c r="E17" s="35">
        <f t="shared" si="0"/>
        <v>480</v>
      </c>
      <c r="F17" s="35">
        <f t="shared" si="0"/>
        <v>570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D483F-8C80-4541-A49B-B3B34875CD37}">
  <dimension ref="A1:H15"/>
  <sheetViews>
    <sheetView tabSelected="1" zoomScale="150" workbookViewId="0">
      <selection activeCell="I21" sqref="I21"/>
    </sheetView>
  </sheetViews>
  <sheetFormatPr baseColWidth="10" defaultRowHeight="13" x14ac:dyDescent="0.15"/>
  <cols>
    <col min="1" max="1" width="26" customWidth="1"/>
  </cols>
  <sheetData>
    <row r="1" spans="1:8" ht="40" customHeight="1" x14ac:dyDescent="0.15">
      <c r="A1" s="36" t="s">
        <v>92</v>
      </c>
      <c r="B1" s="22" t="s">
        <v>62</v>
      </c>
      <c r="C1" s="22" t="s">
        <v>63</v>
      </c>
      <c r="D1" s="22" t="s">
        <v>64</v>
      </c>
      <c r="E1" s="22" t="s">
        <v>65</v>
      </c>
      <c r="F1" s="22" t="s">
        <v>66</v>
      </c>
      <c r="H1" s="37"/>
    </row>
    <row r="2" spans="1:8" ht="14" customHeight="1" x14ac:dyDescent="0.15">
      <c r="A2" s="28" t="s">
        <v>93</v>
      </c>
      <c r="B2" s="33">
        <v>90</v>
      </c>
      <c r="C2" s="33">
        <v>0</v>
      </c>
      <c r="D2" s="33">
        <v>0</v>
      </c>
      <c r="E2" s="33">
        <v>0</v>
      </c>
      <c r="F2" s="33">
        <v>90</v>
      </c>
      <c r="H2" s="27"/>
    </row>
    <row r="3" spans="1:8" ht="14" x14ac:dyDescent="0.15">
      <c r="A3" s="28" t="s">
        <v>94</v>
      </c>
      <c r="B3" s="33">
        <v>0</v>
      </c>
      <c r="C3" s="33">
        <v>0</v>
      </c>
      <c r="D3" s="33">
        <v>0</v>
      </c>
      <c r="E3" s="33">
        <v>0</v>
      </c>
      <c r="F3" s="33">
        <v>0</v>
      </c>
    </row>
    <row r="4" spans="1:8" ht="14" x14ac:dyDescent="0.15">
      <c r="A4" s="28" t="s">
        <v>95</v>
      </c>
      <c r="B4" s="33">
        <v>0</v>
      </c>
      <c r="C4" s="33">
        <v>0</v>
      </c>
      <c r="D4" s="33">
        <v>120</v>
      </c>
      <c r="E4" s="33">
        <v>60</v>
      </c>
      <c r="F4" s="33">
        <v>0</v>
      </c>
      <c r="H4" s="27"/>
    </row>
    <row r="5" spans="1:8" x14ac:dyDescent="0.15">
      <c r="A5" s="29" t="s">
        <v>96</v>
      </c>
      <c r="B5" s="33">
        <v>0</v>
      </c>
      <c r="C5" s="33">
        <v>0</v>
      </c>
      <c r="D5" s="33">
        <v>60</v>
      </c>
      <c r="E5" s="33">
        <v>60</v>
      </c>
      <c r="F5" s="33">
        <v>0</v>
      </c>
    </row>
    <row r="6" spans="1:8" x14ac:dyDescent="0.15">
      <c r="A6" s="29" t="s">
        <v>97</v>
      </c>
      <c r="B6" s="33">
        <v>0</v>
      </c>
      <c r="C6" s="33">
        <v>30</v>
      </c>
      <c r="D6" s="33">
        <v>0</v>
      </c>
      <c r="E6" s="33">
        <v>0</v>
      </c>
      <c r="F6" s="33">
        <v>60</v>
      </c>
    </row>
    <row r="7" spans="1:8" x14ac:dyDescent="0.15">
      <c r="A7" s="29" t="s">
        <v>98</v>
      </c>
      <c r="B7" s="33">
        <v>0</v>
      </c>
      <c r="C7" s="33">
        <v>0</v>
      </c>
      <c r="D7" s="33">
        <v>0</v>
      </c>
      <c r="E7" s="33">
        <v>60</v>
      </c>
      <c r="F7" s="33">
        <v>0</v>
      </c>
    </row>
    <row r="8" spans="1:8" x14ac:dyDescent="0.15">
      <c r="A8" s="29" t="s">
        <v>84</v>
      </c>
      <c r="B8" s="33">
        <v>60</v>
      </c>
      <c r="C8" s="33">
        <v>0</v>
      </c>
      <c r="D8" s="33">
        <v>60</v>
      </c>
      <c r="E8" s="33">
        <v>0</v>
      </c>
      <c r="F8" s="33">
        <v>0</v>
      </c>
    </row>
    <row r="9" spans="1:8" x14ac:dyDescent="0.15">
      <c r="A9" s="29" t="s">
        <v>99</v>
      </c>
      <c r="B9" s="33">
        <v>30</v>
      </c>
      <c r="C9" s="33">
        <v>0</v>
      </c>
      <c r="D9" s="33">
        <v>0</v>
      </c>
      <c r="E9" s="33">
        <v>0</v>
      </c>
      <c r="F9" s="33">
        <v>0</v>
      </c>
    </row>
    <row r="10" spans="1:8" x14ac:dyDescent="0.15">
      <c r="A10" s="29" t="s">
        <v>100</v>
      </c>
      <c r="B10" s="33">
        <v>0</v>
      </c>
      <c r="C10" s="33">
        <v>120</v>
      </c>
      <c r="D10" s="33">
        <v>0</v>
      </c>
      <c r="E10" s="33">
        <v>30</v>
      </c>
      <c r="F10" s="33">
        <v>120</v>
      </c>
    </row>
    <row r="11" spans="1:8" x14ac:dyDescent="0.15">
      <c r="A11" s="29" t="s">
        <v>101</v>
      </c>
      <c r="B11" s="33">
        <v>60</v>
      </c>
      <c r="C11" s="33">
        <v>60</v>
      </c>
      <c r="D11" s="33">
        <v>0</v>
      </c>
      <c r="E11" s="33">
        <v>0</v>
      </c>
      <c r="F11" s="33">
        <v>0</v>
      </c>
    </row>
    <row r="12" spans="1:8" x14ac:dyDescent="0.15">
      <c r="A12" s="31" t="s">
        <v>91</v>
      </c>
      <c r="B12" s="34">
        <v>30</v>
      </c>
      <c r="C12" s="34">
        <v>30</v>
      </c>
      <c r="D12" s="34">
        <v>30</v>
      </c>
      <c r="E12" s="34">
        <v>30</v>
      </c>
      <c r="F12" s="34">
        <v>30</v>
      </c>
    </row>
    <row r="13" spans="1:8" x14ac:dyDescent="0.15">
      <c r="A13" s="31" t="s">
        <v>76</v>
      </c>
      <c r="B13" s="34">
        <v>30</v>
      </c>
      <c r="C13" s="34">
        <v>0</v>
      </c>
      <c r="D13" s="34">
        <v>0</v>
      </c>
      <c r="E13" s="34">
        <v>0</v>
      </c>
      <c r="F13" s="34">
        <v>0</v>
      </c>
    </row>
    <row r="14" spans="1:8" x14ac:dyDescent="0.15">
      <c r="A14" s="31" t="s">
        <v>77</v>
      </c>
      <c r="B14" s="34">
        <v>60</v>
      </c>
      <c r="C14" s="34">
        <v>60</v>
      </c>
      <c r="D14" s="34">
        <v>60</v>
      </c>
      <c r="E14" s="34">
        <v>60</v>
      </c>
      <c r="F14" s="34">
        <v>60</v>
      </c>
    </row>
    <row r="15" spans="1:8" x14ac:dyDescent="0.15">
      <c r="A15" s="32" t="s">
        <v>78</v>
      </c>
      <c r="B15" s="35">
        <f>SUM(B2:B14)</f>
        <v>360</v>
      </c>
      <c r="C15" s="35">
        <f>SUM(C2:C14)</f>
        <v>300</v>
      </c>
      <c r="D15" s="35">
        <f>SUM(D2:D14)</f>
        <v>330</v>
      </c>
      <c r="E15" s="35">
        <f>SUM(E2:E14)</f>
        <v>300</v>
      </c>
      <c r="F15" s="35">
        <f>SUM(F2:F14)</f>
        <v>360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 Page</vt:lpstr>
      <vt:lpstr>Product backlog</vt:lpstr>
      <vt:lpstr>Time Blog - Sprint 1</vt:lpstr>
      <vt:lpstr>Time Blog - Sprint 2</vt:lpstr>
      <vt:lpstr>Time Blog - Sprint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Huu Tin Pham</cp:lastModifiedBy>
  <dcterms:modified xsi:type="dcterms:W3CDTF">2026-03-27T20:26:07Z</dcterms:modified>
</cp:coreProperties>
</file>